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<sst xmlns="http://schemas.openxmlformats.org/spreadsheetml/2006/main" count="53" uniqueCount="41">
  <si>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ⅩⅩⅢ/Ⅺ</t>
  </si>
  <si>
    <t>erster Rechnen</t>
  </si>
  <si>
    <r>
      <t>✠</t>
    </r>
    <r>
      <rPr>
        <b/>
        <sz val="9"/>
        <color theme="5" tint="0.4"/>
        <rFont val="Algerian"/>
        <charset val="134"/>
      </rPr>
      <t xml:space="preserve">  •  Emanoel Batista Da Costa</t>
    </r>
  </si>
  <si>
    <t xml:space="preserve">Aktivität Angewandte Mathematik: </t>
  </si>
  <si>
    <t>Durchschnitt, Mode, Median</t>
  </si>
  <si>
    <t>Ⅰ</t>
  </si>
  <si>
    <t>♙ Übung</t>
  </si>
  <si>
    <t>α</t>
  </si>
  <si>
    <t>Durchschnitt</t>
  </si>
  <si>
    <t>Mittlere</t>
  </si>
  <si>
    <t>Mode</t>
  </si>
  <si>
    <t>β</t>
  </si>
  <si>
    <t>ς</t>
  </si>
  <si>
    <t>Ⅲ</t>
  </si>
  <si>
    <t>Ⅳ</t>
  </si>
  <si>
    <t>♜ Übung</t>
  </si>
  <si>
    <t>Englisch</t>
  </si>
  <si>
    <t>Portugiesisch</t>
  </si>
  <si>
    <t>♝ Übung</t>
  </si>
  <si>
    <t>Geschichte</t>
  </si>
  <si>
    <t>Ⅰnachweisen</t>
  </si>
  <si>
    <t>Ⅰ nachweisen</t>
  </si>
  <si>
    <t>Ⅱ nachweisen</t>
  </si>
  <si>
    <t>Ⅲ nachweisen</t>
  </si>
  <si>
    <t>Ⅳ nachweisen</t>
  </si>
  <si>
    <t>Endergebnis</t>
  </si>
  <si>
    <t>Ⅴ</t>
  </si>
  <si>
    <t>♞ Übung</t>
  </si>
  <si>
    <t>Monate</t>
  </si>
  <si>
    <t>Januar</t>
  </si>
  <si>
    <t>Februar</t>
  </si>
  <si>
    <t>Marsch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</si>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</sst>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6">
    <font>
      <sz val="10"/>
      <color theme="1"/>
      <name val="Calibri"/>
      <charset val="134"/>
      <scheme val="minor"/>
    </font>
    <font>
      <sz val="10"/>
      <color theme="5" tint="0.4"/>
      <name val="Calibri"/>
      <charset val="134"/>
      <scheme val="minor"/>
    </font>
    <font>
      <b/>
      <u/>
      <sz val="10"/>
      <color theme="5" tint="0.4"/>
      <name val="Calibri"/>
      <charset val="134"/>
      <scheme val="minor"/>
    </font>
    <font>
      <b/>
      <sz val="9"/>
      <color theme="5" tint="0.4"/>
      <name val="SimSun"/>
      <charset val="134"/>
    </font>
    <font>
      <b/>
      <sz val="9"/>
      <color theme="5" tint="0.4"/>
      <name val="Algerian"/>
      <charset val="134"/>
    </font>
    <font>
      <b/>
      <i/>
      <sz val="11"/>
      <color theme="5" tint="0.4"/>
      <name val="Calibri"/>
      <charset val="134"/>
      <scheme val="minor"/>
    </font>
    <font>
      <b/>
      <i/>
      <sz val="10"/>
      <color theme="5" tint="0.4"/>
      <name val="Calibri"/>
      <charset val="134"/>
      <scheme val="minor"/>
    </font>
    <font>
      <b/>
      <sz val="10"/>
      <color theme="5" tint="-0.5"/>
      <name val="Calibri"/>
      <charset val="134"/>
      <scheme val="minor"/>
    </font>
    <font>
      <b/>
      <sz val="11"/>
      <color theme="5" tint="-0.5"/>
      <name val="Calibri"/>
      <charset val="134"/>
      <scheme val="minor"/>
    </font>
    <font>
      <sz val="10"/>
      <color theme="1" tint="0.15"/>
      <name val="Calibri"/>
      <charset val="134"/>
      <scheme val="minor"/>
    </font>
    <font>
      <b/>
      <i/>
      <sz val="10"/>
      <color theme="5" tint="-0.5"/>
      <name val="Calibri"/>
      <charset val="134"/>
      <scheme val="minor"/>
    </font>
    <font>
      <i/>
      <sz val="10"/>
      <color theme="5" tint="-0.5"/>
      <name val="Calibri"/>
      <charset val="134"/>
      <scheme val="minor"/>
    </font>
    <font>
      <sz val="10"/>
      <color theme="5" tint="-0.5"/>
      <name val="Calibri"/>
      <charset val="134"/>
      <scheme val="minor"/>
    </font>
    <font>
      <b/>
      <sz val="12"/>
      <color theme="5" tint="-0.5"/>
      <name val="Calibri"/>
      <charset val="134"/>
      <scheme val="minor"/>
    </font>
    <font>
      <b/>
      <i/>
      <sz val="11"/>
      <color theme="5" tint="-0.5"/>
      <name val="Calibri"/>
      <charset val="134"/>
      <scheme val="minor"/>
    </font>
    <font>
      <b/>
      <i/>
      <sz val="9"/>
      <color theme="5" tint="-0.5"/>
      <name val="Calibri"/>
      <charset val="134"/>
      <scheme val="minor"/>
    </font>
    <font>
      <u/>
      <sz val="10"/>
      <color theme="5" tint="0.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theme="5" tint="-0.5"/>
      </left>
      <right style="medium">
        <color theme="5" tint="-0.5"/>
      </right>
      <top style="medium">
        <color theme="5" tint="-0.5"/>
      </top>
      <bottom style="medium">
        <color theme="5" tint="-0.5"/>
      </bottom>
      <diagonal/>
    </border>
    <border>
      <left style="medium">
        <color theme="5" tint="-0.5"/>
      </left>
      <right/>
      <top style="medium">
        <color theme="5" tint="-0.5"/>
      </top>
      <bottom style="medium">
        <color theme="5" tint="-0.5"/>
      </bottom>
      <diagonal/>
    </border>
    <border>
      <left/>
      <right/>
      <top style="medium">
        <color theme="5" tint="-0.5"/>
      </top>
      <bottom style="medium">
        <color theme="5" tint="-0.5"/>
      </bottom>
      <diagonal/>
    </border>
    <border>
      <left/>
      <right style="medium">
        <color theme="5" tint="-0.5"/>
      </right>
      <top style="medium">
        <color theme="5" tint="-0.5"/>
      </top>
      <bottom style="medium">
        <color theme="5" tint="-0.5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8" borderId="18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9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6" fillId="3" borderId="0" xfId="0" applyFont="1" applyFill="1">
      <alignment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0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7" xfId="0" applyFont="1" applyFill="1" applyBorder="1" applyAlignment="1">
      <alignment vertical="center"/>
    </xf>
    <xf numFmtId="0" fontId="0" fillId="4" borderId="1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15" fillId="5" borderId="1" xfId="0" applyFont="1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zoomScale="80" zoomScaleNormal="80" workbookViewId="0">
      <selection activeCell="J12" sqref="J12"/>
    </sheetView>
  </sheetViews>
  <sheetFormatPr defaultColWidth="9.14285714285714" defaultRowHeight="12.75"/>
  <cols>
    <col min="3" max="3" width="13.5619047619048" customWidth="1"/>
    <col min="4" max="4" width="12" customWidth="1"/>
    <col min="5" max="5" width="11.4285714285714" customWidth="1"/>
    <col min="6" max="6" width="12" customWidth="1"/>
    <col min="7" max="7" width="12.847619047619" customWidth="1"/>
    <col min="8" max="9" width="11.1428571428571" customWidth="1"/>
  </cols>
  <sheetData>
    <row r="1" ht="15" spans="1:12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7"/>
      <c r="I1" s="38"/>
      <c r="J1" s="39" t="s">
        <v>4</v>
      </c>
      <c r="K1" s="40"/>
      <c r="L1" s="41"/>
    </row>
    <row r="2" ht="13.5"/>
    <row r="3" ht="13.5" spans="3:19">
      <c r="C3" s="8" t="s">
        <v>5</v>
      </c>
      <c r="D3" s="9" t="s">
        <v>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15.75" spans="3:19">
      <c r="C4" s="11" t="s">
        <v>7</v>
      </c>
      <c r="D4" s="12">
        <v>2.3</v>
      </c>
      <c r="E4" s="13">
        <v>2.1</v>
      </c>
      <c r="F4" s="13">
        <v>1.5</v>
      </c>
      <c r="G4" s="13">
        <v>1.9</v>
      </c>
      <c r="H4" s="13">
        <v>3</v>
      </c>
      <c r="I4" s="13">
        <v>1.7</v>
      </c>
      <c r="J4" s="13">
        <v>1.2</v>
      </c>
      <c r="K4" s="13">
        <v>2.1</v>
      </c>
      <c r="L4" s="13">
        <v>2.5</v>
      </c>
      <c r="M4" s="13">
        <v>1.3</v>
      </c>
      <c r="N4" s="13">
        <v>2</v>
      </c>
      <c r="O4" s="13">
        <v>2.7</v>
      </c>
      <c r="P4" s="13">
        <v>0.8</v>
      </c>
      <c r="Q4" s="13">
        <v>2.3</v>
      </c>
      <c r="R4" s="13">
        <v>2.1</v>
      </c>
      <c r="S4" s="13">
        <v>1.7</v>
      </c>
    </row>
    <row r="5" ht="13.5" spans="3:4">
      <c r="C5" s="14" t="s">
        <v>8</v>
      </c>
      <c r="D5" s="15">
        <f>SUM(D4:S4)/16</f>
        <v>1.95</v>
      </c>
    </row>
    <row r="6" ht="13.5" spans="3:4">
      <c r="C6" s="14" t="s">
        <v>9</v>
      </c>
      <c r="D6" s="15">
        <f>MEDIAN(D4:S4)</f>
        <v>2.05</v>
      </c>
    </row>
    <row r="7" ht="13.5" spans="3:19">
      <c r="C7" s="14" t="s">
        <v>10</v>
      </c>
      <c r="D7" s="15">
        <f>MODE(D4:S4)</f>
        <v>2.1</v>
      </c>
      <c r="N7" s="10"/>
      <c r="O7" s="10"/>
      <c r="P7" s="10"/>
      <c r="Q7" s="10"/>
      <c r="R7" s="10"/>
      <c r="S7" s="10"/>
    </row>
    <row r="8" ht="13.5" spans="4:18">
      <c r="D8" s="16"/>
      <c r="N8" s="10"/>
      <c r="O8" s="10"/>
      <c r="P8" s="10"/>
      <c r="Q8" s="10"/>
      <c r="R8" s="10"/>
    </row>
    <row r="9" ht="15.75" spans="3:23">
      <c r="C9" s="11" t="s">
        <v>11</v>
      </c>
      <c r="D9" s="17">
        <v>80</v>
      </c>
      <c r="E9" s="18">
        <v>71</v>
      </c>
      <c r="F9" s="18">
        <v>95</v>
      </c>
      <c r="G9" s="18">
        <v>100</v>
      </c>
      <c r="N9" s="10"/>
      <c r="O9" s="10"/>
      <c r="P9" s="10"/>
      <c r="Q9" s="10"/>
      <c r="R9" s="10"/>
      <c r="W9" s="10"/>
    </row>
    <row r="10" ht="13.5" spans="3:22">
      <c r="C10" s="14" t="s">
        <v>8</v>
      </c>
      <c r="D10" s="15">
        <f>SUM(D9:G9)/4</f>
        <v>86.5</v>
      </c>
      <c r="V10" s="10"/>
    </row>
    <row r="11" ht="13.5" spans="3:23">
      <c r="C11" s="14" t="s">
        <v>9</v>
      </c>
      <c r="D11" s="15">
        <f>MEDIAN(D9:G9)</f>
        <v>87.5</v>
      </c>
      <c r="W11" s="10"/>
    </row>
    <row r="12" ht="13.5" spans="3:23">
      <c r="C12" s="14" t="s">
        <v>10</v>
      </c>
      <c r="D12" s="15" t="e" cm="1">
        <f t="array" ref="D12">MODE(D9:G9)</f>
        <v>#N/A</v>
      </c>
      <c r="W12" s="10"/>
    </row>
    <row r="13" ht="13.5" spans="4:23">
      <c r="D13" s="16"/>
      <c r="M13" s="10"/>
      <c r="S13" s="10"/>
      <c r="T13" s="10"/>
      <c r="U13" s="10"/>
      <c r="V13" s="10"/>
      <c r="W13" s="10"/>
    </row>
    <row r="14" ht="15.75" spans="3:13">
      <c r="C14" s="11" t="s">
        <v>12</v>
      </c>
      <c r="D14" s="17">
        <v>1</v>
      </c>
      <c r="E14" s="18">
        <v>2</v>
      </c>
      <c r="F14" s="18">
        <v>3</v>
      </c>
      <c r="G14" s="18">
        <v>4</v>
      </c>
      <c r="H14" s="18">
        <v>5</v>
      </c>
      <c r="I14" s="18">
        <v>6</v>
      </c>
      <c r="J14" s="18">
        <v>7</v>
      </c>
      <c r="K14" s="18">
        <v>8</v>
      </c>
      <c r="L14" s="18">
        <v>9</v>
      </c>
      <c r="M14" s="10"/>
    </row>
    <row r="15" ht="13.5" spans="3:13">
      <c r="C15" s="14" t="s">
        <v>8</v>
      </c>
      <c r="D15" s="19">
        <f>SUM(D14:L14)/9</f>
        <v>5</v>
      </c>
      <c r="H15" s="10"/>
      <c r="I15" s="10"/>
      <c r="J15" s="10"/>
      <c r="K15" s="10"/>
      <c r="L15" s="10"/>
      <c r="M15" s="10"/>
    </row>
    <row r="16" ht="13.5" spans="3:4">
      <c r="C16" s="14" t="s">
        <v>9</v>
      </c>
      <c r="D16" s="19">
        <f>MEDIAN(D14:L14)</f>
        <v>5</v>
      </c>
    </row>
    <row r="17" ht="13.5" spans="3:4">
      <c r="C17" s="14" t="s">
        <v>10</v>
      </c>
      <c r="D17" s="19" t="e" cm="1">
        <f t="array" ref="D17">MODE(D14:L14)</f>
        <v>#N/A</v>
      </c>
    </row>
    <row r="19" ht="13.5" spans="3:10">
      <c r="C19" s="20" t="s">
        <v>13</v>
      </c>
      <c r="G19" s="20" t="s">
        <v>14</v>
      </c>
      <c r="J19" s="10"/>
    </row>
    <row r="20" ht="16.5" spans="3:10">
      <c r="C20" s="21" t="s">
        <v>15</v>
      </c>
      <c r="D20" s="11" t="s">
        <v>16</v>
      </c>
      <c r="E20" s="22" t="s">
        <v>17</v>
      </c>
      <c r="G20" s="11" t="s">
        <v>18</v>
      </c>
      <c r="H20" s="23" t="s">
        <v>19</v>
      </c>
      <c r="J20" s="10"/>
    </row>
    <row r="21" ht="13.5" spans="3:10">
      <c r="C21" s="22" t="s">
        <v>20</v>
      </c>
      <c r="D21" s="24">
        <v>6.5</v>
      </c>
      <c r="E21" s="25">
        <v>7.5</v>
      </c>
      <c r="G21" s="22" t="s">
        <v>21</v>
      </c>
      <c r="H21" s="26">
        <v>5.4</v>
      </c>
      <c r="J21" s="10"/>
    </row>
    <row r="22" ht="13.5" spans="3:10">
      <c r="C22" s="22" t="s">
        <v>22</v>
      </c>
      <c r="D22" s="27">
        <v>7.8</v>
      </c>
      <c r="E22" s="28">
        <v>6.9</v>
      </c>
      <c r="G22" s="22" t="s">
        <v>22</v>
      </c>
      <c r="H22" s="29">
        <v>8.3</v>
      </c>
      <c r="J22" s="10"/>
    </row>
    <row r="23" ht="13.5" spans="3:10">
      <c r="C23" s="22" t="s">
        <v>23</v>
      </c>
      <c r="D23" s="27">
        <v>8</v>
      </c>
      <c r="E23" s="28">
        <v>7</v>
      </c>
      <c r="G23" s="22" t="s">
        <v>23</v>
      </c>
      <c r="H23" s="29">
        <v>7.9</v>
      </c>
      <c r="J23" s="10"/>
    </row>
    <row r="24" ht="13.5" spans="3:10">
      <c r="C24" s="22" t="s">
        <v>24</v>
      </c>
      <c r="D24" s="30">
        <v>7.1</v>
      </c>
      <c r="E24" s="31">
        <v>8.2</v>
      </c>
      <c r="G24" s="22" t="s">
        <v>24</v>
      </c>
      <c r="H24" s="17">
        <v>7</v>
      </c>
      <c r="J24" s="10"/>
    </row>
    <row r="25" ht="15.75" spans="3:8">
      <c r="C25" s="32" t="s">
        <v>25</v>
      </c>
      <c r="D25" s="33">
        <f>SUM(D21*1+D22*1+D24*1.5+D23*1.5)/(1+1+1.5+1.5)</f>
        <v>7.39</v>
      </c>
      <c r="E25" s="33">
        <f>SUM(E21*1+E22*1+E24*1.5+E23*1.5)/(1+1+1.5+1.5)</f>
        <v>7.44</v>
      </c>
      <c r="G25" s="14" t="s">
        <v>25</v>
      </c>
      <c r="H25" s="15">
        <f>(H21*3+H22*2+H23*4+H24*5)/(3+2+4+5)</f>
        <v>7.1</v>
      </c>
    </row>
    <row r="26" spans="6:6">
      <c r="F26" s="10"/>
    </row>
    <row r="27" ht="13.5" spans="3:6">
      <c r="C27" s="20" t="s">
        <v>26</v>
      </c>
      <c r="F27" s="10"/>
    </row>
    <row r="28" ht="16.5" spans="3:6">
      <c r="C28" s="21" t="s">
        <v>27</v>
      </c>
      <c r="D28" s="22" t="s">
        <v>28</v>
      </c>
      <c r="E28" s="34" t="s">
        <v>25</v>
      </c>
      <c r="F28" s="10"/>
    </row>
    <row r="29" ht="13.5" spans="3:6">
      <c r="C29" s="22" t="s">
        <v>29</v>
      </c>
      <c r="D29" s="35">
        <v>25</v>
      </c>
      <c r="E29" s="36" t="s">
        <v>11</v>
      </c>
      <c r="F29" s="10"/>
    </row>
    <row r="30" ht="13.5" spans="3:5">
      <c r="C30" s="22" t="s">
        <v>30</v>
      </c>
      <c r="D30" s="37">
        <v>20</v>
      </c>
      <c r="E30" s="15">
        <f>MEDIAN(D29:D40)</f>
        <v>42.5</v>
      </c>
    </row>
    <row r="31" ht="13.5" spans="3:7">
      <c r="C31" s="22" t="s">
        <v>31</v>
      </c>
      <c r="D31" s="29">
        <v>30</v>
      </c>
      <c r="E31" s="10"/>
      <c r="G31" s="10"/>
    </row>
    <row r="32" ht="13.5" spans="3:4">
      <c r="C32" s="22" t="s">
        <v>32</v>
      </c>
      <c r="D32" s="29">
        <v>35</v>
      </c>
    </row>
    <row r="33" ht="13.5" spans="3:6">
      <c r="C33" s="22" t="s">
        <v>33</v>
      </c>
      <c r="D33" s="29">
        <v>40</v>
      </c>
      <c r="E33" s="10"/>
      <c r="F33" s="10"/>
    </row>
    <row r="34" ht="13.5" spans="3:6">
      <c r="C34" s="22" t="s">
        <v>34</v>
      </c>
      <c r="D34" s="29">
        <v>50</v>
      </c>
      <c r="F34" s="10"/>
    </row>
    <row r="35" ht="13.5" spans="3:6">
      <c r="C35" s="22" t="s">
        <v>35</v>
      </c>
      <c r="D35" s="29">
        <v>45</v>
      </c>
      <c r="E35" s="10"/>
      <c r="F35" s="10"/>
    </row>
    <row r="36" ht="13.5" spans="3:6">
      <c r="C36" s="22" t="s">
        <v>36</v>
      </c>
      <c r="D36" s="29">
        <v>35</v>
      </c>
      <c r="E36" s="10"/>
      <c r="F36" s="10"/>
    </row>
    <row r="37" ht="13.5" spans="3:6">
      <c r="C37" s="22" t="s">
        <v>37</v>
      </c>
      <c r="D37" s="29">
        <v>60</v>
      </c>
      <c r="E37" s="10"/>
      <c r="F37" s="10"/>
    </row>
    <row r="38" ht="13.5" spans="3:6">
      <c r="C38" s="22" t="s">
        <v>38</v>
      </c>
      <c r="D38" s="29">
        <v>55</v>
      </c>
      <c r="E38" s="10"/>
      <c r="F38" s="10"/>
    </row>
    <row r="39" ht="13.5" spans="3:6">
      <c r="C39" s="22" t="s">
        <v>39</v>
      </c>
      <c r="D39" s="29">
        <v>70</v>
      </c>
      <c r="E39" s="10"/>
      <c r="F39" s="10"/>
    </row>
    <row r="40" ht="13.5" spans="3:6">
      <c r="C40" s="22" t="s">
        <v>40</v>
      </c>
      <c r="D40" s="29">
        <v>65</v>
      </c>
      <c r="E40" s="10"/>
      <c r="F40" s="10"/>
    </row>
  </sheetData>
  <mergeCells count="3">
    <mergeCell ref="D1:F1"/>
    <mergeCell ref="G1:I1"/>
    <mergeCell ref="J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</dc:creator>
  <cp:lastModifiedBy>Cristiane</cp:lastModifiedBy>
  <dcterms:created xsi:type="dcterms:W3CDTF">2024-11-23T23:11:03Z</dcterms:created>
  <dcterms:modified xsi:type="dcterms:W3CDTF">2024-11-24T00:49:03Z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CD71ED8E4D134DA1A40BA3AE27B8D74D_11</vt:lpwstr>
  </property>
  <property fmtid="{D5CDD505-2E9C-101B-9397-08002B2CF9AE}" pid="3" name="KSOReadingLayout">
    <vt:bool>false</vt:bool>
  </property>
  <property fmtid="{D5CDD505-2E9C-101B-9397-08002B2CF9AE}" pid="4" name="KSOProductBuildVer">
    <vt:lpwstr>1046-12.2.0.18911</vt:lpwstr>
  </property>
</Properties>
</file>