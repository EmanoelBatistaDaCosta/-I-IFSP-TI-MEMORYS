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<sst xmlns="http://schemas.openxmlformats.org/spreadsheetml/2006/main" count="40" uniqueCount="31">
  <si>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EX1</t>
  </si>
  <si>
    <t>A</t>
  </si>
  <si>
    <t>B</t>
  </si>
  <si>
    <t>C</t>
  </si>
  <si>
    <t>Respostas</t>
  </si>
  <si>
    <t>Média</t>
  </si>
  <si>
    <t>Moda</t>
  </si>
  <si>
    <t>Mediana</t>
  </si>
  <si>
    <t>EX3</t>
  </si>
  <si>
    <t>Inglês</t>
  </si>
  <si>
    <t>Português</t>
  </si>
  <si>
    <t>1° Prova</t>
  </si>
  <si>
    <t>2° Prova</t>
  </si>
  <si>
    <t>3° Prova</t>
  </si>
  <si>
    <t>4° Prova</t>
  </si>
  <si>
    <t>EX4</t>
  </si>
  <si>
    <t>1°Prova</t>
  </si>
  <si>
    <t>EX5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</si>
  <si>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</si>
  <si>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</si>
  <si>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</si>
  <si>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</si>
  <si>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</si>
  <si>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</si>
  <si>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</si>
  <si>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</si>
  <si>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</si>
  <si>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</si>
  <si>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</si>
  <si>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</si>
  <si>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Alternativa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</si>
</sst>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topLeftCell="A7" workbookViewId="0">
      <selection activeCell="G33" sqref="G33"/>
    </sheetView>
  </sheetViews>
  <sheetFormatPr defaultColWidth="9.14285714285714" defaultRowHeight="12.75"/>
  <cols>
    <col min="1" max="1" width="12.4285714285714" customWidth="1"/>
    <col min="2" max="2" width="11.4285714285714" customWidth="1"/>
    <col min="3" max="3" width="11.2857142857143" customWidth="1"/>
  </cols>
  <sheetData>
    <row r="1" ht="15.75" spans="1:1">
      <c r="A1" s="1" t="s">
        <v>0</v>
      </c>
    </row>
    <row r="2" spans="1:17">
      <c r="A2" s="2" t="s">
        <v>1</v>
      </c>
      <c r="B2" s="3">
        <v>2.3</v>
      </c>
      <c r="C2" s="3">
        <v>2.1</v>
      </c>
      <c r="D2" s="3">
        <v>1.5</v>
      </c>
      <c r="E2" s="3">
        <v>1.9</v>
      </c>
      <c r="F2" s="3">
        <v>3</v>
      </c>
      <c r="G2" s="3">
        <v>1.7</v>
      </c>
      <c r="H2" s="3">
        <v>1.2</v>
      </c>
      <c r="I2" s="3">
        <v>2.1</v>
      </c>
      <c r="J2" s="3">
        <v>2.5</v>
      </c>
      <c r="K2" s="3">
        <v>1.3</v>
      </c>
      <c r="L2" s="3">
        <v>2</v>
      </c>
      <c r="M2" s="3">
        <v>2.7</v>
      </c>
      <c r="N2" s="3">
        <v>0.8</v>
      </c>
      <c r="O2" s="3">
        <v>2.3</v>
      </c>
      <c r="P2" s="3">
        <v>2.1</v>
      </c>
      <c r="Q2" s="3">
        <v>1.7</v>
      </c>
    </row>
    <row r="3" spans="1:17">
      <c r="A3" s="2" t="s">
        <v>2</v>
      </c>
      <c r="B3" s="4">
        <v>80</v>
      </c>
      <c r="C3" s="4">
        <v>71</v>
      </c>
      <c r="D3" s="4">
        <v>95</v>
      </c>
      <c r="E3" s="4">
        <v>100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>
      <c r="A4" s="2" t="s">
        <v>3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/>
      <c r="L4" s="4"/>
      <c r="M4" s="4"/>
      <c r="N4" s="4"/>
      <c r="O4" s="4"/>
      <c r="P4" s="4"/>
      <c r="Q4" s="4"/>
    </row>
    <row r="5" ht="15.75" spans="1:4">
      <c r="A5" s="1" t="s">
        <v>4</v>
      </c>
      <c r="B5" s="5" t="s">
        <v>1</v>
      </c>
      <c r="C5" s="5" t="s">
        <v>2</v>
      </c>
      <c r="D5" s="5" t="s">
        <v>3</v>
      </c>
    </row>
    <row r="6" spans="1:4">
      <c r="A6" s="2" t="s">
        <v>5</v>
      </c>
      <c r="B6" s="4">
        <f>SUM(B2:Q2)/16</f>
        <v>1.95</v>
      </c>
      <c r="C6" s="4">
        <f>SUM(B3:E3)/4</f>
        <v>86.5</v>
      </c>
      <c r="D6" s="4">
        <f>SUM(B4:J4)/9</f>
        <v>5</v>
      </c>
    </row>
    <row r="7" spans="1:4">
      <c r="A7" s="2" t="s">
        <v>6</v>
      </c>
      <c r="B7" s="4">
        <f>MODE(B2:Q2)</f>
        <v>2.1</v>
      </c>
      <c r="C7" s="4" t="e">
        <f>MODE(B3:E3)</f>
        <v>#N/A</v>
      </c>
      <c r="D7" s="4" t="e">
        <f>MODE(B4:J4)</f>
        <v>#N/A</v>
      </c>
    </row>
    <row r="8" spans="1:4">
      <c r="A8" s="2" t="s">
        <v>7</v>
      </c>
      <c r="B8" s="4">
        <f>MEDIAN(B2:Q2)</f>
        <v>2.05</v>
      </c>
      <c r="C8" s="4">
        <f>MEDIAN(B3:E3)</f>
        <v>87.5</v>
      </c>
      <c r="D8" s="4">
        <f>MEDIAN(B4:J4)</f>
        <v>5</v>
      </c>
    </row>
    <row r="10" ht="15.75" spans="1:3">
      <c r="A10" s="1" t="s">
        <v>8</v>
      </c>
      <c r="B10" s="6" t="s">
        <v>9</v>
      </c>
      <c r="C10" s="6" t="s">
        <v>10</v>
      </c>
    </row>
    <row r="11" spans="1:3">
      <c r="A11" s="2" t="s">
        <v>11</v>
      </c>
      <c r="B11" s="4">
        <v>6.5</v>
      </c>
      <c r="C11" s="4">
        <v>7.5</v>
      </c>
    </row>
    <row r="12" spans="1:3">
      <c r="A12" s="2" t="s">
        <v>12</v>
      </c>
      <c r="B12" s="4">
        <v>7.8</v>
      </c>
      <c r="C12" s="4">
        <v>6.9</v>
      </c>
    </row>
    <row r="13" spans="1:3">
      <c r="A13" s="2" t="s">
        <v>13</v>
      </c>
      <c r="B13" s="4">
        <v>8</v>
      </c>
      <c r="C13" s="4">
        <v>7</v>
      </c>
    </row>
    <row r="14" spans="1:3">
      <c r="A14" s="2" t="s">
        <v>14</v>
      </c>
      <c r="B14" s="4">
        <v>7.1</v>
      </c>
      <c r="C14" s="4">
        <v>8.2</v>
      </c>
    </row>
    <row r="15" ht="15.75" spans="1:3">
      <c r="A15" s="1" t="s">
        <v>4</v>
      </c>
      <c r="B15" s="7">
        <f>SUM(B11*1+B12*1+B14*1.5+B13*1.5)/(1+1+1.5+1.5)</f>
        <v>7.39</v>
      </c>
      <c r="C15" s="7">
        <f>SUM(C11*1+C12*1+C14*1.5+C13*1.5)/(1+1+1.5+1.5)</f>
        <v>7.44</v>
      </c>
    </row>
    <row r="17" ht="15.75" spans="1:2">
      <c r="A17" s="1" t="s">
        <v>15</v>
      </c>
      <c r="B17" s="4"/>
    </row>
    <row r="18" spans="1:2">
      <c r="A18" s="2" t="s">
        <v>16</v>
      </c>
      <c r="B18" s="4">
        <v>5.4</v>
      </c>
    </row>
    <row r="19" spans="1:2">
      <c r="A19" s="2" t="s">
        <v>12</v>
      </c>
      <c r="B19" s="4">
        <v>8.3</v>
      </c>
    </row>
    <row r="20" spans="1:2">
      <c r="A20" s="2" t="s">
        <v>13</v>
      </c>
      <c r="B20" s="4">
        <v>7.9</v>
      </c>
    </row>
    <row r="21" spans="1:2">
      <c r="A21" s="2" t="s">
        <v>14</v>
      </c>
      <c r="B21" s="4">
        <v>7</v>
      </c>
    </row>
    <row r="22" ht="15.75" spans="1:2">
      <c r="A22" s="1" t="s">
        <v>4</v>
      </c>
      <c r="B22" s="4">
        <f>(B18*3+B19*2+B20*4+B21*5)/(3+2+4+5)</f>
        <v>7.1</v>
      </c>
    </row>
    <row r="24" ht="15.75" spans="1:2">
      <c r="A24" s="1" t="s">
        <v>17</v>
      </c>
      <c r="B24" s="4"/>
    </row>
    <row r="25" spans="1:2">
      <c r="A25" s="2" t="s">
        <v>18</v>
      </c>
      <c r="B25" s="4">
        <v>25</v>
      </c>
    </row>
    <row r="26" spans="1:2">
      <c r="A26" s="2" t="s">
        <v>19</v>
      </c>
      <c r="B26" s="4">
        <v>20</v>
      </c>
    </row>
    <row r="27" spans="1:2">
      <c r="A27" s="2" t="s">
        <v>20</v>
      </c>
      <c r="B27" s="4">
        <v>30</v>
      </c>
    </row>
    <row r="28" spans="1:2">
      <c r="A28" s="2" t="s">
        <v>21</v>
      </c>
      <c r="B28" s="4">
        <v>35</v>
      </c>
    </row>
    <row r="29" spans="1:2">
      <c r="A29" s="2" t="s">
        <v>22</v>
      </c>
      <c r="B29" s="4">
        <v>40</v>
      </c>
    </row>
    <row r="30" spans="1:2">
      <c r="A30" s="2" t="s">
        <v>23</v>
      </c>
      <c r="B30" s="4">
        <v>50</v>
      </c>
    </row>
    <row r="31" spans="1:2">
      <c r="A31" s="2" t="s">
        <v>24</v>
      </c>
      <c r="B31" s="4">
        <v>45</v>
      </c>
    </row>
    <row r="32" spans="1:2">
      <c r="A32" s="2" t="s">
        <v>25</v>
      </c>
      <c r="B32" s="4">
        <v>35</v>
      </c>
    </row>
    <row r="33" spans="1:2">
      <c r="A33" s="2" t="s">
        <v>26</v>
      </c>
      <c r="B33" s="4">
        <v>60</v>
      </c>
    </row>
    <row r="34" spans="1:2">
      <c r="A34" s="2" t="s">
        <v>27</v>
      </c>
      <c r="B34" s="4">
        <v>55</v>
      </c>
    </row>
    <row r="35" spans="1:2">
      <c r="A35" s="2" t="s">
        <v>28</v>
      </c>
      <c r="B35" s="4">
        <v>70</v>
      </c>
    </row>
    <row r="36" spans="1:2">
      <c r="A36" s="2" t="s">
        <v>29</v>
      </c>
      <c r="B36" s="4">
        <v>65</v>
      </c>
    </row>
    <row r="37" ht="15.75" spans="1:3">
      <c r="A37" s="1" t="s">
        <v>4</v>
      </c>
      <c r="B37" s="4">
        <f>MEDIAN(B25:B36)</f>
        <v>42.5</v>
      </c>
      <c r="C37" s="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Cristiane</cp:lastModifiedBy>
  <dcterms:created xsi:type="dcterms:W3CDTF">2024-11-21T14:16:00Z</dcterms:created>
  <dcterms:modified xsi:type="dcterms:W3CDTF">2024-11-24T01:18:13Z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EBA0BAA40DE14E8D93246D10C1594248_13</vt:lpwstr>
  </property>
  <property fmtid="{D5CDD505-2E9C-101B-9397-08002B2CF9AE}" pid="3" name="KSOProductBuildVer">
    <vt:lpwstr>1046-12.2.0.18911</vt:lpwstr>
  </property>
</Properties>
</file>